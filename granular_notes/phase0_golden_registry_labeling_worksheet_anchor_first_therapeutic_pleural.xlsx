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rjm\projects\Random\granular_notes\"/>
    </mc:Choice>
  </mc:AlternateContent>
  <xr:revisionPtr revIDLastSave="0" documentId="8_{AC0831B3-6165-454F-B806-DD7D4D3BC3BB}" xr6:coauthVersionLast="47" xr6:coauthVersionMax="47" xr10:uidLastSave="{00000000-0000-0000-0000-000000000000}"/>
  <bookViews>
    <workbookView xWindow="114180" yWindow="45" windowWidth="38610" windowHeight="20880" activeTab="9" xr2:uid="{00000000-000D-0000-FFFF-FFFF00000000}"/>
  </bookViews>
  <sheets>
    <sheet name="README" sheetId="1" r:id="rId1"/>
    <sheet name="_lists" sheetId="2" state="hidden" r:id="rId2"/>
    <sheet name="Label_Guide" sheetId="3" r:id="rId3"/>
    <sheet name="Note_Index" sheetId="4" r:id="rId4"/>
    <sheet name="Span_Annotations" sheetId="5" r:id="rId5"/>
    <sheet name="Span_Hydrated" sheetId="6" r:id="rId6"/>
    <sheet name="Event_Log" sheetId="7" r:id="rId7"/>
    <sheet name="V3_Procedure_Events" sheetId="8" r:id="rId8"/>
    <sheet name="V3_Registry_JSON" sheetId="9" r:id="rId9"/>
    <sheet name="Hydration_Readme" sheetId="10" r:id="rId10"/>
  </sheets>
  <definedNames>
    <definedName name="_xlnm._FilterDatabase" localSheetId="6" hidden="1">Event_Log!$A$1:$W$1</definedName>
    <definedName name="_xlnm._FilterDatabase" localSheetId="2" hidden="1">Label_Guide!$A$1:$E$1</definedName>
    <definedName name="_xlnm._FilterDatabase" localSheetId="3" hidden="1">Note_Index!$A$1:$AL$1</definedName>
    <definedName name="_xlnm._FilterDatabase" localSheetId="4" hidden="1">Span_Annotations!$A$1:$T$1</definedName>
    <definedName name="_xlnm._FilterDatabase" localSheetId="5" hidden="1">Span_Hydrated!$A$1:$T$1</definedName>
    <definedName name="_xlnm._FilterDatabase" localSheetId="7" hidden="1">V3_Procedure_Events!$A$1:$W$1</definedName>
    <definedName name="LABELS">_lists!$A$2:$A$31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2" i="5"/>
</calcChain>
</file>

<file path=xl/sharedStrings.xml><?xml version="1.0" encoding="utf-8"?>
<sst xmlns="http://schemas.openxmlformats.org/spreadsheetml/2006/main" count="357" uniqueCount="289">
  <si>
    <t>Phase 0 Golden Registry Labeling Worksheet (Anchor-First)</t>
  </si>
  <si>
    <t>Humans enter anchors (span_text + optional context_prefix + optional match_index). Do NOT enter offsets.</t>
  </si>
  <si>
    <t>Hydration script fills start_char/end_char and reports ambiguous rows.</t>
  </si>
  <si>
    <t>Update: Added therapeutic/pleural granularity (stent/catheter sizing + pre/post airway lumen + outcomes).</t>
  </si>
  <si>
    <t>LABELS</t>
  </si>
  <si>
    <t>SECTION_TYPES</t>
  </si>
  <si>
    <t>BINARY01</t>
  </si>
  <si>
    <t>STATUSES</t>
  </si>
  <si>
    <t>EVENT_TYPES</t>
  </si>
  <si>
    <t>METHODS</t>
  </si>
  <si>
    <t>ANAT_LN_STATION</t>
  </si>
  <si>
    <t>HISTORY</t>
  </si>
  <si>
    <t>unlabeled</t>
  </si>
  <si>
    <t>therapeutic_aspiration</t>
  </si>
  <si>
    <t>EBUS_LINEAR</t>
  </si>
  <si>
    <t>ANAT_LUNG_LOC</t>
  </si>
  <si>
    <t>INDICATION</t>
  </si>
  <si>
    <t>in_progress</t>
  </si>
  <si>
    <t>navigational_bronchoscopy</t>
  </si>
  <si>
    <t>RADIAL_EBUS</t>
  </si>
  <si>
    <t>ANAT_AIRWAY</t>
  </si>
  <si>
    <t>PROCEDURE</t>
  </si>
  <si>
    <t>done</t>
  </si>
  <si>
    <t>transbronchial_needle_aspiration</t>
  </si>
  <si>
    <t>NAVIGATION</t>
  </si>
  <si>
    <t>ANAT_PLEURA</t>
  </si>
  <si>
    <t>FINDINGS</t>
  </si>
  <si>
    <t>needs_review</t>
  </si>
  <si>
    <t>transbronchial_cryobiopsy</t>
  </si>
  <si>
    <t>ROBOTIC_ION</t>
  </si>
  <si>
    <t>LATERALITY</t>
  </si>
  <si>
    <t>IMPRESSION</t>
  </si>
  <si>
    <t>fiducial_placement</t>
  </si>
  <si>
    <t>FLUOROSCOPY</t>
  </si>
  <si>
    <t>DEV_VALVE</t>
  </si>
  <si>
    <t>COMPLICATIONS</t>
  </si>
  <si>
    <t>transbronchial_brushing</t>
  </si>
  <si>
    <t>CONE_BEAM_CT</t>
  </si>
  <si>
    <t>DEV_STENT</t>
  </si>
  <si>
    <t>OTHER</t>
  </si>
  <si>
    <t>mini_bal</t>
  </si>
  <si>
    <t>ELASTOGRAPHY</t>
  </si>
  <si>
    <t>DEV_CATHETER</t>
  </si>
  <si>
    <t>bal</t>
  </si>
  <si>
    <t>NONE</t>
  </si>
  <si>
    <t>DEV_NEEDLE</t>
  </si>
  <si>
    <t>linear_ebus_assessment</t>
  </si>
  <si>
    <t>DEV_INSTRUMENT</t>
  </si>
  <si>
    <t>ebus_tbna</t>
  </si>
  <si>
    <t>MEAS_SIZE</t>
  </si>
  <si>
    <t>other</t>
  </si>
  <si>
    <t>MEAS_VOL</t>
  </si>
  <si>
    <t>MEAS_PRESS</t>
  </si>
  <si>
    <t>MEAS_COUNT</t>
  </si>
  <si>
    <t>PROC_METHOD</t>
  </si>
  <si>
    <t>PROC_ACTION</t>
  </si>
  <si>
    <t>OBS_ROSE</t>
  </si>
  <si>
    <t>OBS_LESION</t>
  </si>
  <si>
    <t>CTX_HISTORICAL</t>
  </si>
  <si>
    <t>CTX_TIME</t>
  </si>
  <si>
    <t>OUTCOME_AIRWAY_LUMEN_PRE</t>
  </si>
  <si>
    <t>OUTCOME_AIRWAY_LUMEN_POST</t>
  </si>
  <si>
    <t>OUTCOME_SYMPTOMS</t>
  </si>
  <si>
    <t>OUTCOME_PLEURAL</t>
  </si>
  <si>
    <t>OUTCOME_COMPLICATION</t>
  </si>
  <si>
    <t>DEV_STENT_MATERIAL</t>
  </si>
  <si>
    <t>DEV_STENT_SIZE</t>
  </si>
  <si>
    <t>DEV_CATHETER_SIZE</t>
  </si>
  <si>
    <t>MEAS_AIRWAY_DIAM</t>
  </si>
  <si>
    <t>MEAS_PLEURAL_DRAIN</t>
  </si>
  <si>
    <t>Label</t>
  </si>
  <si>
    <t>Definition</t>
  </si>
  <si>
    <t>Examples</t>
  </si>
  <si>
    <t>Maps To Schema Field</t>
  </si>
  <si>
    <t>Notes</t>
  </si>
  <si>
    <t>Lymph node stations (IASLC map).</t>
  </si>
  <si>
    <t>4R; Station 7; 11L; subcarinal; hilar</t>
  </si>
  <si>
    <t>ebus.stations_sampled</t>
  </si>
  <si>
    <t>Normalize to IASLC tokens (4R, 7, 11L...).</t>
  </si>
  <si>
    <t>Lung parenchyma, lobes, or segments.</t>
  </si>
  <si>
    <t>RUL; Lingula; RB1; apical segment</t>
  </si>
  <si>
    <t>biopsy.location; blvr.target_lobe</t>
  </si>
  <si>
    <t>Prefer canonical lobar/segment abbreviations.</t>
  </si>
  <si>
    <t>Central airway structures (non-parenchymal).</t>
  </si>
  <si>
    <t>Trachea; main carina; RMB; LMB</t>
  </si>
  <si>
    <t>stent.location; dilation.location</t>
  </si>
  <si>
    <t>Use standard airway abbreviations.</t>
  </si>
  <si>
    <t>Pleural space or chest wall boundaries.</t>
  </si>
  <si>
    <t>Pleural space; chest wall; diaphragm</t>
  </si>
  <si>
    <t>pleural.entry_site</t>
  </si>
  <si>
    <t>Include laterality separately if detached.</t>
  </si>
  <si>
    <t>Side modifiers.</t>
  </si>
  <si>
    <t>Left; Right; Bilateral</t>
  </si>
  <si>
    <t>(modifier)</t>
  </si>
  <si>
    <t>Attach to nearest anatomy/device/event when possible.</t>
  </si>
  <si>
    <t>Endobronchial valves (implants).</t>
  </si>
  <si>
    <t>Zephyr; Spiration; IBV; 4.0</t>
  </si>
  <si>
    <t>blvr.valve_type</t>
  </si>
  <si>
    <t>Capture brand and size/count when present.</t>
  </si>
  <si>
    <t>Airway stents (implants).</t>
  </si>
  <si>
    <t>14x40mm; silicone; Ultraflex; hybrid</t>
  </si>
  <si>
    <t>stent.type</t>
  </si>
  <si>
    <t>Size often MEAS_SIZE; material/type here.</t>
  </si>
  <si>
    <t>Pleural/drainage catheters.</t>
  </si>
  <si>
    <t>PleurX; IPC; 14F pigtail; chest tube</t>
  </si>
  <si>
    <t>pleural.catheter_type</t>
  </si>
  <si>
    <t>If size present, also label MEAS_SIZE.</t>
  </si>
  <si>
    <t>Aspiration needles (disposables).</t>
  </si>
  <si>
    <t>19G; 21 gauge; 22ga; EUS needle</t>
  </si>
  <si>
    <t>ebus.needle_size</t>
  </si>
  <si>
    <t>Normalize to 19G/21G/22G.</t>
  </si>
  <si>
    <t>Other transient tools.</t>
  </si>
  <si>
    <t>Forceps; cytology brush; balloon; cryoprobe</t>
  </si>
  <si>
    <t>procedure.device</t>
  </si>
  <si>
    <t>Pair with PROC_ACTION + ANAT_* when possible.</t>
  </si>
  <si>
    <t>Linear dimensions (diameter/length).</t>
  </si>
  <si>
    <t>2 cm; 15 mm; 3.5 x 2.0 cm</t>
  </si>
  <si>
    <t>lesion.size; stent.diameter</t>
  </si>
  <si>
    <t>Normalize units to mm where feasible.</t>
  </si>
  <si>
    <t>Fluid volumes.</t>
  </si>
  <si>
    <t>500 cc; 1.5 L; 10 mL</t>
  </si>
  <si>
    <t>pleural.fluid_removed</t>
  </si>
  <si>
    <t>Normalize to mL where feasible.</t>
  </si>
  <si>
    <t>Manometry readings.</t>
  </si>
  <si>
    <t>-20 cmH2O; -5</t>
  </si>
  <si>
    <t>pleural.manometry</t>
  </si>
  <si>
    <t>Keep units.</t>
  </si>
  <si>
    <t>Integer counts of actions.</t>
  </si>
  <si>
    <t>3 passes; 2 valves; three samples</t>
  </si>
  <si>
    <t>ebus.passes_per_station</t>
  </si>
  <si>
    <t>Normalize to integer; store mapping if station-specific.</t>
  </si>
  <si>
    <t>Guidance/technology used.</t>
  </si>
  <si>
    <t>EBUS; Navigational; Robotic; Fluoroscopy</t>
  </si>
  <si>
    <t>procedure.navigation_type</t>
  </si>
  <si>
    <t>This is the 'how', not the action.</t>
  </si>
  <si>
    <t>Specific intervention performed.</t>
  </si>
  <si>
    <t>Biopsy; TBNA; Lavage; Ablation</t>
  </si>
  <si>
    <t>procedure.type</t>
  </si>
  <si>
    <t>Use for event logs; link anatomy/device.</t>
  </si>
  <si>
    <t>ROSE result.</t>
  </si>
  <si>
    <t>Malignant; lymphocytes; granulomas</t>
  </si>
  <si>
    <t>ebus.rose_result</t>
  </si>
  <si>
    <t>If station-specific, link to event_id.</t>
  </si>
  <si>
    <t>Target abnormality/lesion.</t>
  </si>
  <si>
    <t>Mass; nodule; infiltrate; cavity</t>
  </si>
  <si>
    <t>indication</t>
  </si>
  <si>
    <t>Avoid mapping historical lesions as current.</t>
  </si>
  <si>
    <t>Past-marker language.</t>
  </si>
  <si>
    <t>History of; prior; status post; previous</t>
  </si>
  <si>
    <t>(guardrail)</t>
  </si>
  <si>
    <t>Use to guardrail false positives.</t>
  </si>
  <si>
    <t>Procedure timestamps/durations.</t>
  </si>
  <si>
    <t>14:00; 2:15 PM; 20 minutes</t>
  </si>
  <si>
    <t>procedure.start_time; procedure.duration</t>
  </si>
  <si>
    <t>Use when explicitly documented.</t>
  </si>
  <si>
    <t>Airway lumen/obstruction before intervention.</t>
  </si>
  <si>
    <t>~80% obstruction; 2 mm lumen; critical stenosis</t>
  </si>
  <si>
    <t>event.outcomes.airway.lumen_pre</t>
  </si>
  <si>
    <t>Only when explicit pre-intervention measurement/grade stated.</t>
  </si>
  <si>
    <t>Airway lumen/obstruction after intervention.</t>
  </si>
  <si>
    <t>improved to ~20% obstruction; widely patent; &gt;90% patency</t>
  </si>
  <si>
    <t>event.outcomes.airway.lumen_post</t>
  </si>
  <si>
    <t>Only when explicit post-intervention measurement/grade stated.</t>
  </si>
  <si>
    <t>Patient symptom/physiology response.</t>
  </si>
  <si>
    <t>stridor improved; dyspnea improved; SpO₂ improved</t>
  </si>
  <si>
    <t>event.outcomes.symptoms</t>
  </si>
  <si>
    <t>Capture explicit response statements.</t>
  </si>
  <si>
    <t>Pleural outcome (re-expansion/trapped lung/relief).</t>
  </si>
  <si>
    <t>lung re-expanded; trapped lung; symptomatic relief</t>
  </si>
  <si>
    <t>event.outcomes.pleural</t>
  </si>
  <si>
    <t>Capture explicit outcome language.</t>
  </si>
  <si>
    <t>Immediate outcome/complication resolution.</t>
  </si>
  <si>
    <t>no complications; bleeding controlled; pneumothorax treated</t>
  </si>
  <si>
    <t>event.outcomes.complications</t>
  </si>
  <si>
    <t>If 'no complications', value can be 'none'.</t>
  </si>
  <si>
    <t>Stent material/type descriptor.</t>
  </si>
  <si>
    <t>silicone; covered metal; hybrid; Ultraflex</t>
  </si>
  <si>
    <t>stent.material / stent.brand</t>
  </si>
  <si>
    <t>Material/brand words; size separately.</t>
  </si>
  <si>
    <t>Full stent size phrase.</t>
  </si>
  <si>
    <t>14x40mm; 12 mm x 6 cm</t>
  </si>
  <si>
    <t>stent.size</t>
  </si>
  <si>
    <t>Use exact sizing string.</t>
  </si>
  <si>
    <t>Catheter/drain size phrase.</t>
  </si>
  <si>
    <t>14 Fr pigtail; 24 Fr chest tube; 8.5F</t>
  </si>
  <si>
    <t>pleural.catheter.size_fr</t>
  </si>
  <si>
    <t>Use exact phrase; normalize later.</t>
  </si>
  <si>
    <t>Airway lumen diameter measurement.</t>
  </si>
  <si>
    <t>6 mm lumen; 10 mm airway</t>
  </si>
  <si>
    <t>event.measurements.airway_diameter</t>
  </si>
  <si>
    <t>Distinct from stent size.</t>
  </si>
  <si>
    <t>Drain size measurement (Fr/F).</t>
  </si>
  <si>
    <t>14 Fr; 24 Fr</t>
  </si>
  <si>
    <t>pleural.device.size_fr</t>
  </si>
  <si>
    <t>Use when size stated even if device separate.</t>
  </si>
  <si>
    <t>source_file</t>
  </si>
  <si>
    <t>note_id</t>
  </si>
  <si>
    <t>encounter_id</t>
  </si>
  <si>
    <t>procedure_date</t>
  </si>
  <si>
    <t>site</t>
  </si>
  <si>
    <t>reviewer</t>
  </si>
  <si>
    <t>status</t>
  </si>
  <si>
    <t>free_text_notes</t>
  </si>
  <si>
    <t>diagnostic_bronchoscopy</t>
  </si>
  <si>
    <t>bronchial_wash</t>
  </si>
  <si>
    <t>brushings</t>
  </si>
  <si>
    <t>endobronchial_biopsy</t>
  </si>
  <si>
    <t>tbna_conventional</t>
  </si>
  <si>
    <t>linear_ebus</t>
  </si>
  <si>
    <t>radial_ebus</t>
  </si>
  <si>
    <t>transbronchial_biopsy</t>
  </si>
  <si>
    <t>foreign_body_removal</t>
  </si>
  <si>
    <t>airway_dilation</t>
  </si>
  <si>
    <t>airway_stent</t>
  </si>
  <si>
    <t>thermal_ablation</t>
  </si>
  <si>
    <t>tumor_debulking_non_thermal</t>
  </si>
  <si>
    <t>cryotherapy</t>
  </si>
  <si>
    <t>blvr</t>
  </si>
  <si>
    <t>peripheral_ablation</t>
  </si>
  <si>
    <t>bronchial_thermoplasty</t>
  </si>
  <si>
    <t>whole_lung_lavage</t>
  </si>
  <si>
    <t>rigid_bronchoscopy</t>
  </si>
  <si>
    <t>thoracentesis</t>
  </si>
  <si>
    <t>chest_tube</t>
  </si>
  <si>
    <t>ipc</t>
  </si>
  <si>
    <t>medical_thoracoscopy</t>
  </si>
  <si>
    <t>pleurodesis</t>
  </si>
  <si>
    <t>pleural_biopsy</t>
  </si>
  <si>
    <t>fibrinolytic_therapy</t>
  </si>
  <si>
    <t>span_id</t>
  </si>
  <si>
    <t>section_type</t>
  </si>
  <si>
    <t>context_prefix</t>
  </si>
  <si>
    <t>span_text</t>
  </si>
  <si>
    <t>match_index</t>
  </si>
  <si>
    <t>start_char</t>
  </si>
  <si>
    <t>end_char</t>
  </si>
  <si>
    <t>span_len</t>
  </si>
  <si>
    <t>label</t>
  </si>
  <si>
    <t>normalized_value</t>
  </si>
  <si>
    <t>schema_field</t>
  </si>
  <si>
    <t>event_id</t>
  </si>
  <si>
    <t>is_negated</t>
  </si>
  <si>
    <t>is_historical</t>
  </si>
  <si>
    <t>time_anchor</t>
  </si>
  <si>
    <t>comments</t>
  </si>
  <si>
    <t>hydration_status</t>
  </si>
  <si>
    <t>event_type</t>
  </si>
  <si>
    <t>method</t>
  </si>
  <si>
    <t>anatomy_target</t>
  </si>
  <si>
    <t>device</t>
  </si>
  <si>
    <t>needle_gauge</t>
  </si>
  <si>
    <t>stations</t>
  </si>
  <si>
    <t>counts</t>
  </si>
  <si>
    <t>measurements</t>
  </si>
  <si>
    <t>specimens</t>
  </si>
  <si>
    <t>findings</t>
  </si>
  <si>
    <t>device_size</t>
  </si>
  <si>
    <t>device_material</t>
  </si>
  <si>
    <t>outcome_airway_lumen_pre</t>
  </si>
  <si>
    <t>outcome_airway_lumen_post</t>
  </si>
  <si>
    <t>outcome_symptoms</t>
  </si>
  <si>
    <t>outcome_pleural</t>
  </si>
  <si>
    <t>outcome_complication</t>
  </si>
  <si>
    <t>type</t>
  </si>
  <si>
    <t>target.anatomy_type</t>
  </si>
  <si>
    <t>target.location.lobe</t>
  </si>
  <si>
    <t>target.location.segment</t>
  </si>
  <si>
    <t>target.station</t>
  </si>
  <si>
    <t>lesion.type</t>
  </si>
  <si>
    <t>lesion.size_mm</t>
  </si>
  <si>
    <t>devices_json</t>
  </si>
  <si>
    <t>measurements_json</t>
  </si>
  <si>
    <t>specimens_json</t>
  </si>
  <si>
    <t>findings_json</t>
  </si>
  <si>
    <t>evidence_quote</t>
  </si>
  <si>
    <t>stent.material_or_brand</t>
  </si>
  <si>
    <t>catheter.size_fr</t>
  </si>
  <si>
    <t>outcomes.airway.lumen_pre</t>
  </si>
  <si>
    <t>outcomes.airway.lumen_post</t>
  </si>
  <si>
    <t>outcomes.symptoms</t>
  </si>
  <si>
    <t>outcomes.pleural</t>
  </si>
  <si>
    <t>outcomes.complications</t>
  </si>
  <si>
    <t>V3 registry object (draft) — paste JSON here or generate programmatically</t>
  </si>
  <si>
    <t>{
  "schema_version": "ip_registry_v3_draft",
  "note_id": "",
  "source_file": "",
  "procedure_date": "",
  "procedures": []
}</t>
  </si>
  <si>
    <t>Hydration workflow (anchors → offsets)</t>
  </si>
  <si>
    <t>- Human: in Span_Annotations, fill span_text + optional context_prefix + optional match_index.</t>
  </si>
  <si>
    <t>- Human: leave start_char/end_char blank.</t>
  </si>
  <si>
    <t>- Engineer: run scripts/hydrate_gold_spans.py to populate start_char/end_char and hydration_status.</t>
  </si>
  <si>
    <t>- If hydration_status indicates AMBIGUOUS, human adds more context_prefix or match_index and re-run hydration.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</si>
</sst>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1F4E7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showGridLines="0" workbookViewId="0">
      <selection activeCell="A19" sqref="A19"/>
    </sheetView>
  </sheetViews>
  <sheetFormatPr defaultRowHeight="15" x14ac:dyDescent="0.25"/>
  <cols>
    <col min="1" max="1" width="120" customWidth="1"/>
  </cols>
  <sheetData>
    <row r="1" spans="1:1" ht="21" x14ac:dyDescent="0.3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6" spans="1:1" x14ac:dyDescent="0.25">
      <c r="A6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showGridLines="0" workbookViewId="0"/>
  </sheetViews>
  <sheetFormatPr defaultRowHeight="15" x14ac:dyDescent="0.25"/>
  <sheetData>
    <row r="1" spans="1:6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x14ac:dyDescent="0.25">
      <c r="A2" t="s">
        <v>10</v>
      </c>
      <c r="B2" t="s">
        <v>11</v>
      </c>
      <c r="C2">
        <v>0</v>
      </c>
      <c r="D2" t="s">
        <v>12</v>
      </c>
      <c r="E2" t="s">
        <v>13</v>
      </c>
      <c r="F2" t="s">
        <v>14</v>
      </c>
    </row>
    <row r="3" spans="1:6" x14ac:dyDescent="0.25">
      <c r="A3" t="s">
        <v>15</v>
      </c>
      <c r="B3" t="s">
        <v>16</v>
      </c>
      <c r="C3">
        <v>1</v>
      </c>
      <c r="D3" t="s">
        <v>17</v>
      </c>
      <c r="E3" t="s">
        <v>18</v>
      </c>
      <c r="F3" t="s">
        <v>19</v>
      </c>
    </row>
    <row r="4" spans="1:6" x14ac:dyDescent="0.25">
      <c r="A4" t="s">
        <v>20</v>
      </c>
      <c r="B4" t="s">
        <v>21</v>
      </c>
      <c r="D4" t="s">
        <v>22</v>
      </c>
      <c r="E4" t="s">
        <v>23</v>
      </c>
      <c r="F4" t="s">
        <v>24</v>
      </c>
    </row>
    <row r="5" spans="1:6" x14ac:dyDescent="0.25">
      <c r="A5" t="s">
        <v>25</v>
      </c>
      <c r="B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E8" t="s">
        <v>40</v>
      </c>
      <c r="F8" t="s">
        <v>41</v>
      </c>
    </row>
    <row r="9" spans="1:6" x14ac:dyDescent="0.25">
      <c r="A9" t="s">
        <v>42</v>
      </c>
      <c r="E9" t="s">
        <v>43</v>
      </c>
      <c r="F9" t="s">
        <v>44</v>
      </c>
    </row>
    <row r="10" spans="1:6" x14ac:dyDescent="0.25">
      <c r="A10" t="s">
        <v>45</v>
      </c>
      <c r="E10" t="s">
        <v>46</v>
      </c>
      <c r="F10" t="s">
        <v>39</v>
      </c>
    </row>
    <row r="11" spans="1:6" x14ac:dyDescent="0.25">
      <c r="A11" t="s">
        <v>47</v>
      </c>
      <c r="E11" t="s">
        <v>48</v>
      </c>
    </row>
    <row r="12" spans="1:6" x14ac:dyDescent="0.25">
      <c r="A12" t="s">
        <v>49</v>
      </c>
      <c r="E12" t="s">
        <v>50</v>
      </c>
    </row>
    <row r="13" spans="1:6" x14ac:dyDescent="0.25">
      <c r="A13" t="s">
        <v>51</v>
      </c>
    </row>
    <row r="14" spans="1:6" x14ac:dyDescent="0.25">
      <c r="A14" t="s">
        <v>52</v>
      </c>
    </row>
    <row r="15" spans="1:6" x14ac:dyDescent="0.25">
      <c r="A15" t="s">
        <v>53</v>
      </c>
    </row>
    <row r="16" spans="1:6" x14ac:dyDescent="0.25">
      <c r="A16" t="s">
        <v>54</v>
      </c>
    </row>
    <row r="17" spans="1:1" x14ac:dyDescent="0.25">
      <c r="A17" t="s">
        <v>55</v>
      </c>
    </row>
    <row r="18" spans="1:1" x14ac:dyDescent="0.25">
      <c r="A18" t="s">
        <v>56</v>
      </c>
    </row>
    <row r="19" spans="1:1" x14ac:dyDescent="0.25">
      <c r="A19" t="s">
        <v>57</v>
      </c>
    </row>
    <row r="20" spans="1:1" x14ac:dyDescent="0.25">
      <c r="A20" t="s">
        <v>58</v>
      </c>
    </row>
    <row r="21" spans="1:1" x14ac:dyDescent="0.25">
      <c r="A21" t="s">
        <v>59</v>
      </c>
    </row>
    <row r="22" spans="1:1" x14ac:dyDescent="0.25">
      <c r="A22" t="s">
        <v>60</v>
      </c>
    </row>
    <row r="23" spans="1:1" x14ac:dyDescent="0.25">
      <c r="A23" t="s">
        <v>61</v>
      </c>
    </row>
    <row r="24" spans="1:1" x14ac:dyDescent="0.25">
      <c r="A24" t="s">
        <v>62</v>
      </c>
    </row>
    <row r="25" spans="1:1" x14ac:dyDescent="0.25">
      <c r="A25" t="s">
        <v>63</v>
      </c>
    </row>
    <row r="26" spans="1:1" x14ac:dyDescent="0.25">
      <c r="A26" t="s">
        <v>64</v>
      </c>
    </row>
    <row r="27" spans="1:1" x14ac:dyDescent="0.25">
      <c r="A27" t="s">
        <v>65</v>
      </c>
    </row>
    <row r="28" spans="1:1" x14ac:dyDescent="0.25">
      <c r="A28" t="s">
        <v>66</v>
      </c>
    </row>
    <row r="29" spans="1:1" x14ac:dyDescent="0.25">
      <c r="A29" t="s">
        <v>67</v>
      </c>
    </row>
    <row r="30" spans="1:1" x14ac:dyDescent="0.25">
      <c r="A30" t="s">
        <v>68</v>
      </c>
    </row>
    <row r="31" spans="1:1" x14ac:dyDescent="0.25">
      <c r="A31" t="s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showGridLines="0" workbookViewId="0">
      <pane ySplit="1" topLeftCell="A14" activePane="bottomLeft" state="frozen"/>
      <selection pane="bottomLeft"/>
    </sheetView>
  </sheetViews>
  <sheetFormatPr defaultRowHeight="15" x14ac:dyDescent="0.25"/>
  <cols>
    <col min="1" max="1" width="20" customWidth="1"/>
    <col min="2" max="2" width="45" customWidth="1"/>
    <col min="3" max="5" width="40" customWidth="1"/>
  </cols>
  <sheetData>
    <row r="1" spans="1:5" x14ac:dyDescent="0.25">
      <c r="A1" s="4" t="s">
        <v>70</v>
      </c>
      <c r="B1" s="4" t="s">
        <v>71</v>
      </c>
      <c r="C1" s="4" t="s">
        <v>72</v>
      </c>
      <c r="D1" s="4" t="s">
        <v>73</v>
      </c>
      <c r="E1" s="4" t="s">
        <v>74</v>
      </c>
    </row>
    <row r="2" spans="1:5" x14ac:dyDescent="0.25">
      <c r="A2" s="6" t="s">
        <v>10</v>
      </c>
      <c r="B2" s="6" t="s">
        <v>75</v>
      </c>
      <c r="C2" s="6" t="s">
        <v>76</v>
      </c>
      <c r="D2" s="6" t="s">
        <v>77</v>
      </c>
      <c r="E2" s="6" t="s">
        <v>78</v>
      </c>
    </row>
    <row r="3" spans="1:5" ht="30" x14ac:dyDescent="0.25">
      <c r="A3" s="6" t="s">
        <v>15</v>
      </c>
      <c r="B3" s="6" t="s">
        <v>79</v>
      </c>
      <c r="C3" s="6" t="s">
        <v>80</v>
      </c>
      <c r="D3" s="6" t="s">
        <v>81</v>
      </c>
      <c r="E3" s="6" t="s">
        <v>82</v>
      </c>
    </row>
    <row r="4" spans="1:5" x14ac:dyDescent="0.25">
      <c r="A4" s="6" t="s">
        <v>20</v>
      </c>
      <c r="B4" s="6" t="s">
        <v>83</v>
      </c>
      <c r="C4" s="6" t="s">
        <v>84</v>
      </c>
      <c r="D4" s="6" t="s">
        <v>85</v>
      </c>
      <c r="E4" s="6" t="s">
        <v>86</v>
      </c>
    </row>
    <row r="5" spans="1:5" x14ac:dyDescent="0.25">
      <c r="A5" s="6" t="s">
        <v>25</v>
      </c>
      <c r="B5" s="6" t="s">
        <v>87</v>
      </c>
      <c r="C5" s="6" t="s">
        <v>88</v>
      </c>
      <c r="D5" s="6" t="s">
        <v>89</v>
      </c>
      <c r="E5" s="6" t="s">
        <v>90</v>
      </c>
    </row>
    <row r="6" spans="1:5" ht="30" x14ac:dyDescent="0.25">
      <c r="A6" s="6" t="s">
        <v>30</v>
      </c>
      <c r="B6" s="6" t="s">
        <v>91</v>
      </c>
      <c r="C6" s="6" t="s">
        <v>92</v>
      </c>
      <c r="D6" s="6" t="s">
        <v>93</v>
      </c>
      <c r="E6" s="6" t="s">
        <v>94</v>
      </c>
    </row>
    <row r="7" spans="1:5" ht="30" x14ac:dyDescent="0.25">
      <c r="A7" s="6" t="s">
        <v>34</v>
      </c>
      <c r="B7" s="6" t="s">
        <v>95</v>
      </c>
      <c r="C7" s="6" t="s">
        <v>96</v>
      </c>
      <c r="D7" s="6" t="s">
        <v>97</v>
      </c>
      <c r="E7" s="6" t="s">
        <v>98</v>
      </c>
    </row>
    <row r="8" spans="1:5" x14ac:dyDescent="0.25">
      <c r="A8" s="6" t="s">
        <v>38</v>
      </c>
      <c r="B8" s="6" t="s">
        <v>99</v>
      </c>
      <c r="C8" s="6" t="s">
        <v>100</v>
      </c>
      <c r="D8" s="6" t="s">
        <v>101</v>
      </c>
      <c r="E8" s="6" t="s">
        <v>102</v>
      </c>
    </row>
    <row r="9" spans="1:5" x14ac:dyDescent="0.25">
      <c r="A9" s="6" t="s">
        <v>42</v>
      </c>
      <c r="B9" s="6" t="s">
        <v>103</v>
      </c>
      <c r="C9" s="6" t="s">
        <v>104</v>
      </c>
      <c r="D9" s="6" t="s">
        <v>105</v>
      </c>
      <c r="E9" s="6" t="s">
        <v>106</v>
      </c>
    </row>
    <row r="10" spans="1:5" x14ac:dyDescent="0.25">
      <c r="A10" s="6" t="s">
        <v>45</v>
      </c>
      <c r="B10" s="6" t="s">
        <v>107</v>
      </c>
      <c r="C10" s="6" t="s">
        <v>108</v>
      </c>
      <c r="D10" s="6" t="s">
        <v>109</v>
      </c>
      <c r="E10" s="6" t="s">
        <v>110</v>
      </c>
    </row>
    <row r="11" spans="1:5" ht="30" x14ac:dyDescent="0.25">
      <c r="A11" s="6" t="s">
        <v>47</v>
      </c>
      <c r="B11" s="6" t="s">
        <v>111</v>
      </c>
      <c r="C11" s="6" t="s">
        <v>112</v>
      </c>
      <c r="D11" s="6" t="s">
        <v>113</v>
      </c>
      <c r="E11" s="6" t="s">
        <v>114</v>
      </c>
    </row>
    <row r="12" spans="1:5" x14ac:dyDescent="0.25">
      <c r="A12" s="6" t="s">
        <v>49</v>
      </c>
      <c r="B12" s="6" t="s">
        <v>115</v>
      </c>
      <c r="C12" s="6" t="s">
        <v>116</v>
      </c>
      <c r="D12" s="6" t="s">
        <v>117</v>
      </c>
      <c r="E12" s="6" t="s">
        <v>118</v>
      </c>
    </row>
    <row r="13" spans="1:5" x14ac:dyDescent="0.25">
      <c r="A13" s="6" t="s">
        <v>51</v>
      </c>
      <c r="B13" s="6" t="s">
        <v>119</v>
      </c>
      <c r="C13" s="6" t="s">
        <v>120</v>
      </c>
      <c r="D13" s="6" t="s">
        <v>121</v>
      </c>
      <c r="E13" s="6" t="s">
        <v>122</v>
      </c>
    </row>
    <row r="14" spans="1:5" x14ac:dyDescent="0.25">
      <c r="A14" s="6" t="s">
        <v>52</v>
      </c>
      <c r="B14" s="6" t="s">
        <v>123</v>
      </c>
      <c r="C14" s="6" t="s">
        <v>124</v>
      </c>
      <c r="D14" s="6" t="s">
        <v>125</v>
      </c>
      <c r="E14" s="6" t="s">
        <v>126</v>
      </c>
    </row>
    <row r="15" spans="1:5" ht="30" x14ac:dyDescent="0.25">
      <c r="A15" s="6" t="s">
        <v>53</v>
      </c>
      <c r="B15" s="6" t="s">
        <v>127</v>
      </c>
      <c r="C15" s="6" t="s">
        <v>128</v>
      </c>
      <c r="D15" s="6" t="s">
        <v>129</v>
      </c>
      <c r="E15" s="6" t="s">
        <v>130</v>
      </c>
    </row>
    <row r="16" spans="1:5" x14ac:dyDescent="0.25">
      <c r="A16" s="6" t="s">
        <v>54</v>
      </c>
      <c r="B16" s="6" t="s">
        <v>131</v>
      </c>
      <c r="C16" s="6" t="s">
        <v>132</v>
      </c>
      <c r="D16" s="6" t="s">
        <v>133</v>
      </c>
      <c r="E16" s="6" t="s">
        <v>134</v>
      </c>
    </row>
    <row r="17" spans="1:5" x14ac:dyDescent="0.25">
      <c r="A17" s="6" t="s">
        <v>55</v>
      </c>
      <c r="B17" s="6" t="s">
        <v>135</v>
      </c>
      <c r="C17" s="6" t="s">
        <v>136</v>
      </c>
      <c r="D17" s="6" t="s">
        <v>137</v>
      </c>
      <c r="E17" s="6" t="s">
        <v>138</v>
      </c>
    </row>
    <row r="18" spans="1:5" x14ac:dyDescent="0.25">
      <c r="A18" s="6" t="s">
        <v>56</v>
      </c>
      <c r="B18" s="6" t="s">
        <v>139</v>
      </c>
      <c r="C18" s="6" t="s">
        <v>140</v>
      </c>
      <c r="D18" s="6" t="s">
        <v>141</v>
      </c>
      <c r="E18" s="6" t="s">
        <v>142</v>
      </c>
    </row>
    <row r="19" spans="1:5" ht="30" x14ac:dyDescent="0.25">
      <c r="A19" s="6" t="s">
        <v>57</v>
      </c>
      <c r="B19" s="6" t="s">
        <v>143</v>
      </c>
      <c r="C19" s="6" t="s">
        <v>144</v>
      </c>
      <c r="D19" s="6" t="s">
        <v>145</v>
      </c>
      <c r="E19" s="6" t="s">
        <v>146</v>
      </c>
    </row>
    <row r="20" spans="1:5" x14ac:dyDescent="0.25">
      <c r="A20" s="6" t="s">
        <v>58</v>
      </c>
      <c r="B20" s="6" t="s">
        <v>147</v>
      </c>
      <c r="C20" s="6" t="s">
        <v>148</v>
      </c>
      <c r="D20" s="6" t="s">
        <v>149</v>
      </c>
      <c r="E20" s="6" t="s">
        <v>150</v>
      </c>
    </row>
    <row r="21" spans="1:5" x14ac:dyDescent="0.25">
      <c r="A21" s="6" t="s">
        <v>59</v>
      </c>
      <c r="B21" s="6" t="s">
        <v>151</v>
      </c>
      <c r="C21" s="6" t="s">
        <v>152</v>
      </c>
      <c r="D21" s="6" t="s">
        <v>153</v>
      </c>
      <c r="E21" s="6" t="s">
        <v>154</v>
      </c>
    </row>
    <row r="22" spans="1:5" ht="30" x14ac:dyDescent="0.25">
      <c r="A22" s="6" t="s">
        <v>60</v>
      </c>
      <c r="B22" s="6" t="s">
        <v>155</v>
      </c>
      <c r="C22" s="6" t="s">
        <v>156</v>
      </c>
      <c r="D22" s="6" t="s">
        <v>157</v>
      </c>
      <c r="E22" s="6" t="s">
        <v>158</v>
      </c>
    </row>
    <row r="23" spans="1:5" ht="30" x14ac:dyDescent="0.25">
      <c r="A23" s="6" t="s">
        <v>61</v>
      </c>
      <c r="B23" s="6" t="s">
        <v>159</v>
      </c>
      <c r="C23" s="6" t="s">
        <v>160</v>
      </c>
      <c r="D23" s="6" t="s">
        <v>161</v>
      </c>
      <c r="E23" s="6" t="s">
        <v>162</v>
      </c>
    </row>
    <row r="24" spans="1:5" ht="30" x14ac:dyDescent="0.25">
      <c r="A24" s="6" t="s">
        <v>62</v>
      </c>
      <c r="B24" s="6" t="s">
        <v>163</v>
      </c>
      <c r="C24" s="6" t="s">
        <v>164</v>
      </c>
      <c r="D24" s="6" t="s">
        <v>165</v>
      </c>
      <c r="E24" s="6" t="s">
        <v>166</v>
      </c>
    </row>
    <row r="25" spans="1:5" ht="30" x14ac:dyDescent="0.25">
      <c r="A25" s="6" t="s">
        <v>63</v>
      </c>
      <c r="B25" s="6" t="s">
        <v>167</v>
      </c>
      <c r="C25" s="6" t="s">
        <v>168</v>
      </c>
      <c r="D25" s="6" t="s">
        <v>169</v>
      </c>
      <c r="E25" s="6" t="s">
        <v>170</v>
      </c>
    </row>
    <row r="26" spans="1:5" ht="30" x14ac:dyDescent="0.25">
      <c r="A26" s="6" t="s">
        <v>64</v>
      </c>
      <c r="B26" s="6" t="s">
        <v>171</v>
      </c>
      <c r="C26" s="6" t="s">
        <v>172</v>
      </c>
      <c r="D26" s="6" t="s">
        <v>173</v>
      </c>
      <c r="E26" s="6" t="s">
        <v>174</v>
      </c>
    </row>
    <row r="27" spans="1:5" ht="30" x14ac:dyDescent="0.25">
      <c r="A27" s="6" t="s">
        <v>65</v>
      </c>
      <c r="B27" s="6" t="s">
        <v>175</v>
      </c>
      <c r="C27" s="6" t="s">
        <v>176</v>
      </c>
      <c r="D27" s="6" t="s">
        <v>177</v>
      </c>
      <c r="E27" s="6" t="s">
        <v>178</v>
      </c>
    </row>
    <row r="28" spans="1:5" x14ac:dyDescent="0.25">
      <c r="A28" s="6" t="s">
        <v>66</v>
      </c>
      <c r="B28" s="6" t="s">
        <v>179</v>
      </c>
      <c r="C28" s="6" t="s">
        <v>180</v>
      </c>
      <c r="D28" s="6" t="s">
        <v>181</v>
      </c>
      <c r="E28" s="6" t="s">
        <v>182</v>
      </c>
    </row>
    <row r="29" spans="1:5" x14ac:dyDescent="0.25">
      <c r="A29" s="6" t="s">
        <v>67</v>
      </c>
      <c r="B29" s="6" t="s">
        <v>183</v>
      </c>
      <c r="C29" s="6" t="s">
        <v>184</v>
      </c>
      <c r="D29" s="6" t="s">
        <v>185</v>
      </c>
      <c r="E29" s="6" t="s">
        <v>186</v>
      </c>
    </row>
    <row r="30" spans="1:5" ht="30" x14ac:dyDescent="0.25">
      <c r="A30" s="6" t="s">
        <v>68</v>
      </c>
      <c r="B30" s="6" t="s">
        <v>187</v>
      </c>
      <c r="C30" s="6" t="s">
        <v>188</v>
      </c>
      <c r="D30" s="6" t="s">
        <v>189</v>
      </c>
      <c r="E30" s="6" t="s">
        <v>190</v>
      </c>
    </row>
    <row r="31" spans="1:5" ht="30" x14ac:dyDescent="0.25">
      <c r="A31" s="6" t="s">
        <v>69</v>
      </c>
      <c r="B31" s="6" t="s">
        <v>191</v>
      </c>
      <c r="C31" s="6" t="s">
        <v>192</v>
      </c>
      <c r="D31" s="6" t="s">
        <v>193</v>
      </c>
      <c r="E31" s="6" t="s">
        <v>194</v>
      </c>
    </row>
  </sheetData>
  <autoFilter ref="A1:E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"/>
  <sheetViews>
    <sheetView showGridLines="0" workbookViewId="0">
      <pane ySplit="1" topLeftCell="A6" activePane="bottomLeft" state="frozen"/>
      <selection pane="bottomLeft"/>
    </sheetView>
  </sheetViews>
  <sheetFormatPr defaultRowHeight="15" x14ac:dyDescent="0.25"/>
  <cols>
    <col min="1" max="1" width="22" customWidth="1"/>
    <col min="2" max="2" width="20" customWidth="1"/>
    <col min="3" max="3" width="18" customWidth="1"/>
    <col min="4" max="4" width="14" customWidth="1"/>
    <col min="5" max="5" width="10" customWidth="1"/>
    <col min="6" max="6" width="12" customWidth="1"/>
    <col min="7" max="7" width="14" customWidth="1"/>
    <col min="8" max="8" width="40" customWidth="1"/>
    <col min="9" max="38" width="18" customWidth="1"/>
  </cols>
  <sheetData>
    <row r="1" spans="1:38" ht="30" x14ac:dyDescent="0.25">
      <c r="A1" s="4" t="s">
        <v>195</v>
      </c>
      <c r="B1" s="4" t="s">
        <v>196</v>
      </c>
      <c r="C1" s="4" t="s">
        <v>197</v>
      </c>
      <c r="D1" s="4" t="s">
        <v>198</v>
      </c>
      <c r="E1" s="4" t="s">
        <v>199</v>
      </c>
      <c r="F1" s="4" t="s">
        <v>200</v>
      </c>
      <c r="G1" s="4" t="s">
        <v>201</v>
      </c>
      <c r="H1" s="4" t="s">
        <v>202</v>
      </c>
      <c r="I1" s="4" t="s">
        <v>203</v>
      </c>
      <c r="J1" s="4" t="s">
        <v>43</v>
      </c>
      <c r="K1" s="4" t="s">
        <v>204</v>
      </c>
      <c r="L1" s="4" t="s">
        <v>205</v>
      </c>
      <c r="M1" s="4" t="s">
        <v>206</v>
      </c>
      <c r="N1" s="4" t="s">
        <v>207</v>
      </c>
      <c r="O1" s="4" t="s">
        <v>208</v>
      </c>
      <c r="P1" s="4" t="s">
        <v>209</v>
      </c>
      <c r="Q1" s="4" t="s">
        <v>18</v>
      </c>
      <c r="R1" s="4" t="s">
        <v>210</v>
      </c>
      <c r="S1" s="4" t="s">
        <v>28</v>
      </c>
      <c r="T1" s="4" t="s">
        <v>13</v>
      </c>
      <c r="U1" s="4" t="s">
        <v>211</v>
      </c>
      <c r="V1" s="4" t="s">
        <v>212</v>
      </c>
      <c r="W1" s="4" t="s">
        <v>213</v>
      </c>
      <c r="X1" s="4" t="s">
        <v>214</v>
      </c>
      <c r="Y1" s="4" t="s">
        <v>215</v>
      </c>
      <c r="Z1" s="4" t="s">
        <v>216</v>
      </c>
      <c r="AA1" s="4" t="s">
        <v>217</v>
      </c>
      <c r="AB1" s="4" t="s">
        <v>218</v>
      </c>
      <c r="AC1" s="4" t="s">
        <v>219</v>
      </c>
      <c r="AD1" s="4" t="s">
        <v>220</v>
      </c>
      <c r="AE1" s="4" t="s">
        <v>221</v>
      </c>
      <c r="AF1" s="4" t="s">
        <v>222</v>
      </c>
      <c r="AG1" s="4" t="s">
        <v>223</v>
      </c>
      <c r="AH1" s="4" t="s">
        <v>224</v>
      </c>
      <c r="AI1" s="4" t="s">
        <v>225</v>
      </c>
      <c r="AJ1" s="4" t="s">
        <v>226</v>
      </c>
      <c r="AK1" s="4" t="s">
        <v>227</v>
      </c>
      <c r="AL1" s="4" t="s">
        <v>228</v>
      </c>
    </row>
  </sheetData>
  <autoFilter ref="A1:AL1" xr:uid="{00000000-0009-0000-0000-000003000000}"/>
  <dataValidations count="2">
    <dataValidation type="list" allowBlank="1" sqref="G2:G5000" xr:uid="{00000000-0002-0000-0300-000000000000}">
      <formula1>STATUSES</formula1>
    </dataValidation>
    <dataValidation type="list" allowBlank="1" sqref="I2:AL5000" xr:uid="{00000000-0002-0000-0300-000001000000}">
      <formula1>BINARY01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20" customWidth="1"/>
    <col min="3" max="3" width="10" customWidth="1"/>
    <col min="4" max="4" width="14" customWidth="1"/>
    <col min="5" max="5" width="22" customWidth="1"/>
    <col min="6" max="6" width="55" customWidth="1"/>
    <col min="7" max="9" width="10" customWidth="1"/>
    <col min="10" max="10" width="9" customWidth="1"/>
    <col min="11" max="11" width="18" customWidth="1"/>
    <col min="12" max="12" width="22" customWidth="1"/>
    <col min="13" max="13" width="32" customWidth="1"/>
    <col min="14" max="14" width="14" customWidth="1"/>
    <col min="15" max="15" width="10" customWidth="1"/>
    <col min="16" max="16" width="12" customWidth="1"/>
    <col min="17" max="17" width="14" customWidth="1"/>
    <col min="18" max="18" width="12" customWidth="1"/>
    <col min="19" max="19" width="30" customWidth="1"/>
    <col min="20" max="20" width="18" customWidth="1"/>
  </cols>
  <sheetData>
    <row r="1" spans="1:20" ht="30" x14ac:dyDescent="0.25">
      <c r="A1" s="4" t="s">
        <v>195</v>
      </c>
      <c r="B1" s="4" t="s">
        <v>196</v>
      </c>
      <c r="C1" s="4" t="s">
        <v>229</v>
      </c>
      <c r="D1" s="4" t="s">
        <v>230</v>
      </c>
      <c r="E1" s="4" t="s">
        <v>231</v>
      </c>
      <c r="F1" s="4" t="s">
        <v>232</v>
      </c>
      <c r="G1" s="4" t="s">
        <v>233</v>
      </c>
      <c r="H1" s="4" t="s">
        <v>234</v>
      </c>
      <c r="I1" s="4" t="s">
        <v>235</v>
      </c>
      <c r="J1" s="4" t="s">
        <v>236</v>
      </c>
      <c r="K1" s="4" t="s">
        <v>237</v>
      </c>
      <c r="L1" s="4" t="s">
        <v>238</v>
      </c>
      <c r="M1" s="4" t="s">
        <v>239</v>
      </c>
      <c r="N1" s="4" t="s">
        <v>240</v>
      </c>
      <c r="O1" s="4" t="s">
        <v>241</v>
      </c>
      <c r="P1" s="4" t="s">
        <v>242</v>
      </c>
      <c r="Q1" s="4" t="s">
        <v>243</v>
      </c>
      <c r="R1" s="4" t="s">
        <v>200</v>
      </c>
      <c r="S1" s="4" t="s">
        <v>244</v>
      </c>
      <c r="T1" s="4" t="s">
        <v>245</v>
      </c>
    </row>
    <row r="2" spans="1:20" x14ac:dyDescent="0.25">
      <c r="J2" t="str">
        <f>IF(AND(H2&lt;&gt;"",I2&lt;&gt;""),I2-H2,"")</f>
        <v/>
      </c>
    </row>
  </sheetData>
  <autoFilter ref="A1:T1" xr:uid="{00000000-0009-0000-0000-000004000000}"/>
  <dataValidations count="3">
    <dataValidation type="list" allowBlank="1" sqref="K2:K20000" xr:uid="{00000000-0002-0000-0400-000000000000}">
      <formula1>LABELS</formula1>
    </dataValidation>
    <dataValidation type="list" allowBlank="1" sqref="D2:D20000" xr:uid="{00000000-0002-0000-0400-000001000000}">
      <formula1>SECTION_TYPES</formula1>
    </dataValidation>
    <dataValidation type="list" allowBlank="1" sqref="O2:O20000 P2:P20000" xr:uid="{00000000-0002-0000-0400-000002000000}">
      <formula1>BINARY01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20" customWidth="1"/>
    <col min="3" max="3" width="10" customWidth="1"/>
    <col min="4" max="4" width="14" customWidth="1"/>
    <col min="5" max="5" width="22" customWidth="1"/>
    <col min="6" max="6" width="55" customWidth="1"/>
    <col min="7" max="9" width="10" customWidth="1"/>
    <col min="10" max="10" width="9" customWidth="1"/>
    <col min="11" max="11" width="18" customWidth="1"/>
    <col min="12" max="12" width="22" customWidth="1"/>
    <col min="13" max="13" width="32" customWidth="1"/>
    <col min="14" max="14" width="14" customWidth="1"/>
    <col min="15" max="15" width="10" customWidth="1"/>
    <col min="16" max="16" width="12" customWidth="1"/>
    <col min="17" max="17" width="14" customWidth="1"/>
    <col min="18" max="18" width="12" customWidth="1"/>
    <col min="19" max="19" width="30" customWidth="1"/>
    <col min="20" max="20" width="18" customWidth="1"/>
  </cols>
  <sheetData>
    <row r="1" spans="1:20" ht="30" x14ac:dyDescent="0.25">
      <c r="A1" s="4" t="s">
        <v>195</v>
      </c>
      <c r="B1" s="4" t="s">
        <v>196</v>
      </c>
      <c r="C1" s="4" t="s">
        <v>229</v>
      </c>
      <c r="D1" s="4" t="s">
        <v>230</v>
      </c>
      <c r="E1" s="4" t="s">
        <v>231</v>
      </c>
      <c r="F1" s="4" t="s">
        <v>232</v>
      </c>
      <c r="G1" s="4" t="s">
        <v>233</v>
      </c>
      <c r="H1" s="4" t="s">
        <v>234</v>
      </c>
      <c r="I1" s="4" t="s">
        <v>235</v>
      </c>
      <c r="J1" s="4" t="s">
        <v>236</v>
      </c>
      <c r="K1" s="4" t="s">
        <v>237</v>
      </c>
      <c r="L1" s="4" t="s">
        <v>238</v>
      </c>
      <c r="M1" s="4" t="s">
        <v>239</v>
      </c>
      <c r="N1" s="4" t="s">
        <v>240</v>
      </c>
      <c r="O1" s="4" t="s">
        <v>241</v>
      </c>
      <c r="P1" s="4" t="s">
        <v>242</v>
      </c>
      <c r="Q1" s="4" t="s">
        <v>243</v>
      </c>
      <c r="R1" s="4" t="s">
        <v>200</v>
      </c>
      <c r="S1" s="4" t="s">
        <v>244</v>
      </c>
      <c r="T1" s="4" t="s">
        <v>245</v>
      </c>
    </row>
    <row r="2" spans="1:20" x14ac:dyDescent="0.25">
      <c r="J2" t="str">
        <f>IF(AND(H2&lt;&gt;"",I2&lt;&gt;""),I2-H2,"")</f>
        <v/>
      </c>
    </row>
  </sheetData>
  <autoFilter ref="A1:T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20" customWidth="1"/>
    <col min="3" max="3" width="18" customWidth="1"/>
    <col min="4" max="4" width="24" customWidth="1"/>
    <col min="5" max="5" width="16" customWidth="1"/>
    <col min="6" max="6" width="30" customWidth="1"/>
    <col min="7" max="7" width="24" customWidth="1"/>
    <col min="8" max="8" width="14" customWidth="1"/>
    <col min="9" max="9" width="22" customWidth="1"/>
    <col min="10" max="10" width="18" customWidth="1"/>
    <col min="11" max="11" width="24" customWidth="1"/>
    <col min="12" max="12" width="26" customWidth="1"/>
    <col min="13" max="13" width="24" customWidth="1"/>
    <col min="14" max="15" width="12" customWidth="1"/>
    <col min="16" max="16" width="30" customWidth="1"/>
  </cols>
  <sheetData>
    <row r="1" spans="1:23" ht="60" x14ac:dyDescent="0.25">
      <c r="A1" s="4" t="s">
        <v>195</v>
      </c>
      <c r="B1" s="4" t="s">
        <v>196</v>
      </c>
      <c r="C1" s="4" t="s">
        <v>240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242</v>
      </c>
      <c r="O1" s="4" t="s">
        <v>200</v>
      </c>
      <c r="P1" s="4" t="s">
        <v>244</v>
      </c>
      <c r="Q1" s="4" t="s">
        <v>256</v>
      </c>
      <c r="R1" s="4" t="s">
        <v>257</v>
      </c>
      <c r="S1" s="4" t="s">
        <v>258</v>
      </c>
      <c r="T1" s="4" t="s">
        <v>259</v>
      </c>
      <c r="U1" s="4" t="s">
        <v>260</v>
      </c>
      <c r="V1" s="4" t="s">
        <v>261</v>
      </c>
      <c r="W1" s="4" t="s">
        <v>262</v>
      </c>
    </row>
    <row r="2" spans="1:23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</sheetData>
  <autoFilter ref="A1:W1" xr:uid="{00000000-0009-0000-0000-000006000000}"/>
  <dataValidations count="3">
    <dataValidation type="list" allowBlank="1" sqref="D2:D20000" xr:uid="{00000000-0002-0000-0600-000000000000}">
      <formula1>EVENT_TYPES</formula1>
    </dataValidation>
    <dataValidation type="list" allowBlank="1" sqref="E2:E20000" xr:uid="{00000000-0002-0000-0600-000001000000}">
      <formula1>METHODS</formula1>
    </dataValidation>
    <dataValidation type="list" allowBlank="1" sqref="N2:N20000" xr:uid="{00000000-0002-0000-0600-000002000000}">
      <formula1>BINARY01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8" customWidth="1"/>
    <col min="3" max="3" width="22" customWidth="1"/>
    <col min="4" max="4" width="18" customWidth="1"/>
    <col min="5" max="5" width="12" customWidth="1"/>
    <col min="6" max="6" width="14" customWidth="1"/>
    <col min="7" max="9" width="12" customWidth="1"/>
    <col min="10" max="10" width="26" customWidth="1"/>
    <col min="11" max="11" width="30" customWidth="1"/>
    <col min="12" max="14" width="28" customWidth="1"/>
    <col min="15" max="15" width="55" customWidth="1"/>
  </cols>
  <sheetData>
    <row r="1" spans="1:23" ht="60" x14ac:dyDescent="0.25">
      <c r="A1" s="4" t="s">
        <v>196</v>
      </c>
      <c r="B1" s="4" t="s">
        <v>240</v>
      </c>
      <c r="C1" s="4" t="s">
        <v>263</v>
      </c>
      <c r="D1" s="4" t="s">
        <v>264</v>
      </c>
      <c r="E1" s="4" t="s">
        <v>265</v>
      </c>
      <c r="F1" s="4" t="s">
        <v>266</v>
      </c>
      <c r="G1" s="4" t="s">
        <v>267</v>
      </c>
      <c r="H1" s="4" t="s">
        <v>268</v>
      </c>
      <c r="I1" s="4" t="s">
        <v>269</v>
      </c>
      <c r="J1" s="4" t="s">
        <v>247</v>
      </c>
      <c r="K1" s="4" t="s">
        <v>270</v>
      </c>
      <c r="L1" s="4" t="s">
        <v>271</v>
      </c>
      <c r="M1" s="4" t="s">
        <v>272</v>
      </c>
      <c r="N1" s="4" t="s">
        <v>273</v>
      </c>
      <c r="O1" s="4" t="s">
        <v>274</v>
      </c>
      <c r="P1" s="4" t="s">
        <v>181</v>
      </c>
      <c r="Q1" s="4" t="s">
        <v>275</v>
      </c>
      <c r="R1" s="4" t="s">
        <v>276</v>
      </c>
      <c r="S1" s="4" t="s">
        <v>277</v>
      </c>
      <c r="T1" s="4" t="s">
        <v>278</v>
      </c>
      <c r="U1" s="4" t="s">
        <v>279</v>
      </c>
      <c r="V1" s="4" t="s">
        <v>280</v>
      </c>
      <c r="W1" s="4" t="s">
        <v>281</v>
      </c>
    </row>
    <row r="2" spans="1:23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</sheetData>
  <autoFilter ref="A1:W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showGridLines="0" workbookViewId="0"/>
  </sheetViews>
  <sheetFormatPr defaultRowHeight="15" x14ac:dyDescent="0.25"/>
  <cols>
    <col min="1" max="1" width="140" customWidth="1"/>
  </cols>
  <sheetData>
    <row r="1" spans="1:1" ht="18.75" x14ac:dyDescent="0.3">
      <c r="A1" s="5" t="s">
        <v>282</v>
      </c>
    </row>
    <row r="2" spans="1:1" ht="219.95" customHeight="1" x14ac:dyDescent="0.25">
      <c r="A2" s="2" t="s">
        <v>283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6"/>
  <sheetViews>
    <sheetView showGridLines="0" tabSelected="1" workbookViewId="0"/>
  </sheetViews>
  <sheetFormatPr defaultRowHeight="15" x14ac:dyDescent="0.25"/>
  <cols>
    <col min="1" max="1" width="120" customWidth="1"/>
  </cols>
  <sheetData>
    <row r="1" spans="1:1" ht="18.75" x14ac:dyDescent="0.3">
      <c r="A1" s="5" t="s">
        <v>284</v>
      </c>
    </row>
    <row r="3" spans="1:1" x14ac:dyDescent="0.25">
      <c r="A3" s="2" t="s">
        <v>285</v>
      </c>
    </row>
    <row r="4" spans="1:1" x14ac:dyDescent="0.25">
      <c r="A4" s="2" t="s">
        <v>286</v>
      </c>
    </row>
    <row r="5" spans="1:1" x14ac:dyDescent="0.25">
      <c r="A5" s="2" t="s">
        <v>287</v>
      </c>
    </row>
    <row r="6" spans="1:1" x14ac:dyDescent="0.25">
      <c r="A6" s="2" t="s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README</vt:lpstr>
      <vt:lpstr>_lists</vt:lpstr>
      <vt:lpstr>Label_Guide</vt:lpstr>
      <vt:lpstr>Note_Index</vt:lpstr>
      <vt:lpstr>Span_Annotations</vt:lpstr>
      <vt:lpstr>Span_Hydrated</vt:lpstr>
      <vt:lpstr>Event_Log</vt:lpstr>
      <vt:lpstr>V3_Procedure_Events</vt:lpstr>
      <vt:lpstr>V3_Registry_JSON</vt:lpstr>
      <vt:lpstr>Hydration_Readme</vt:lpstr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Russell Miller</cp:lastModifiedBy>
  <dcterms:created xsi:type="dcterms:W3CDTF">2026-01-11T16:34:55Z</dcterms:created>
  <dcterms:modified xsi:type="dcterms:W3CDTF">2026-01-12T20:16:04Z</dcterms:modified>
</cp:coreProperties>
</file>